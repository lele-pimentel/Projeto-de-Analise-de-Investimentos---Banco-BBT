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hidePivotFieldList="1"/>
  <xr:revisionPtr revIDLastSave="0" documentId="8_{E3DF5DB2-8ED5-479C-8D4F-4F7D3DAD0CA8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Investimentos do Banco" sheetId="5" r:id="rId1"/>
    <sheet name="Porcentagem do Valor Atual" sheetId="6" r:id="rId2"/>
    <sheet name="Dashboard" sheetId="7" r:id="rId3"/>
    <sheet name="Busca" sheetId="8" r:id="rId4"/>
    <sheet name="Planilha1" sheetId="9" r:id="rId5"/>
  </sheets>
  <calcPr calcId="191028"/>
  <pivotCaches>
    <pivotCache cacheId="699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0" i="8"/>
  <c r="B9" i="8"/>
  <c r="B8" i="8"/>
  <c r="B7" i="8"/>
  <c r="B6" i="8"/>
  <c r="J2" i="5"/>
  <c r="J3" i="5"/>
  <c r="J4" i="5"/>
  <c r="J5" i="5"/>
  <c r="J6" i="5"/>
  <c r="N2" i="5"/>
  <c r="M2" i="5"/>
  <c r="L2" i="5"/>
  <c r="K2" i="5"/>
  <c r="F3" i="5"/>
  <c r="F4" i="5"/>
  <c r="F5" i="5"/>
  <c r="F6" i="5"/>
  <c r="F2" i="5"/>
  <c r="M3" i="5"/>
  <c r="L3" i="5"/>
  <c r="K3" i="5"/>
  <c r="K4" i="5"/>
  <c r="K5" i="5"/>
  <c r="K6" i="5"/>
  <c r="M4" i="5"/>
  <c r="M5" i="5"/>
  <c r="M6" i="5"/>
  <c r="N4" i="5"/>
  <c r="N3" i="5"/>
  <c r="N5" i="5"/>
  <c r="N6" i="5"/>
  <c r="L4" i="5"/>
  <c r="L5" i="5"/>
  <c r="L6" i="5"/>
</calcChain>
</file>

<file path=xl/sharedStrings.xml><?xml version="1.0" encoding="utf-8"?>
<sst xmlns="http://schemas.openxmlformats.org/spreadsheetml/2006/main" count="41" uniqueCount="35">
  <si>
    <t>Ativo</t>
  </si>
  <si>
    <t>Tipo</t>
  </si>
  <si>
    <t>Quantidade</t>
  </si>
  <si>
    <t>Preço de Compra2</t>
  </si>
  <si>
    <t>Preço Atual</t>
  </si>
  <si>
    <t>Valor Investido</t>
  </si>
  <si>
    <t>Valor Atual</t>
  </si>
  <si>
    <t>Rentabilidade</t>
  </si>
  <si>
    <t>Rentabilidade2</t>
  </si>
  <si>
    <t> Total Investido</t>
  </si>
  <si>
    <t>Total Atual</t>
  </si>
  <si>
    <t>Rentabilidade média</t>
  </si>
  <si>
    <t>Menor rentabilidade</t>
  </si>
  <si>
    <t>Maior rentabilidade</t>
  </si>
  <si>
    <t>PETR4</t>
  </si>
  <si>
    <t>Ação</t>
  </si>
  <si>
    <t>VALE3</t>
  </si>
  <si>
    <t>ITUB4</t>
  </si>
  <si>
    <t>BBAS3</t>
  </si>
  <si>
    <t>IMAB11</t>
  </si>
  <si>
    <t>Fundo Imobiliário</t>
  </si>
  <si>
    <t>Nome da Categoria</t>
  </si>
  <si>
    <t>Porcentagem</t>
  </si>
  <si>
    <t>Soma de Valor Atual</t>
  </si>
  <si>
    <t>Total Geral</t>
  </si>
  <si>
    <t>Coluna1</t>
  </si>
  <si>
    <t>Coluna2</t>
  </si>
  <si>
    <t>Escolha um Ativo:</t>
  </si>
  <si>
    <t>Informações do Ativo</t>
  </si>
  <si>
    <t>Tipo de Ativo:</t>
  </si>
  <si>
    <t>Preço de Compra:</t>
  </si>
  <si>
    <t>Preço Atual:</t>
  </si>
  <si>
    <t>Valor Investido:</t>
  </si>
  <si>
    <t>Rentabilidade (R$):</t>
  </si>
  <si>
    <t>Rentabilidade (%):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</si>
</sst>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>
    <font>
      <sz val="10"/>
      <color rgb="FF000000"/>
      <name val="Verdana"/>
      <scheme val="minor"/>
    </font>
    <font>
      <sz val="12"/>
      <color rgb="FF000000"/>
      <name val="Quote-Cjk-Patch"/>
      <charset val="1"/>
    </font>
    <font>
      <sz val="10"/>
      <color rgb="FF000000"/>
      <name val="Verdana"/>
      <charset val="1"/>
    </font>
    <font>
      <b/>
      <sz val="10"/>
      <color rgb="FFF5FCFF"/>
      <name val="Verdana"/>
      <charset val="1"/>
    </font>
    <font>
      <sz val="12"/>
      <color rgb="FF000000"/>
      <name val="Arial"/>
      <charset val="1"/>
    </font>
    <font>
      <sz val="12"/>
      <color rgb="FFF9FAFB"/>
      <name val="Quote-Cjk-Patch"/>
      <charset val="1"/>
    </font>
    <font>
      <b/>
      <sz val="12"/>
      <color rgb="FFF9FAFB"/>
      <name val="Quote-Cjk-Patch"/>
    </font>
    <font>
      <sz val="11"/>
      <color rgb="FF000000"/>
      <name val="Quote-Cjk-Patch"/>
      <charset val="1"/>
    </font>
  </fonts>
  <fills count="4">
    <fill>
      <patternFill patternType="none"/>
    </fill>
    <fill>
      <patternFill patternType="gray125"/>
    </fill>
    <fill>
      <patternFill patternType="solid">
        <fgColor rgb="FF42BDFF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theme="6" tint="-0.249977111117893"/>
      </top>
      <bottom style="thin">
        <color rgb="FFCCCCCC"/>
      </bottom>
      <diagonal/>
    </border>
    <border>
      <left/>
      <right/>
      <top style="thin">
        <color theme="6" tint="-0.249977111117893"/>
      </top>
      <bottom/>
      <diagonal/>
    </border>
    <border>
      <left style="thin">
        <color rgb="FFCCCCCC"/>
      </left>
      <right/>
      <top style="thin">
        <color theme="6" tint="-0.249977111117893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theme="6" tint="-0.249977111117893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theme="6" tint="-0.249977111117893"/>
      </left>
      <right/>
      <top style="thin">
        <color theme="6" tint="-0.249977111117893"/>
      </top>
      <bottom/>
      <diagonal/>
    </border>
    <border>
      <left/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6" tint="-0.249977111117893"/>
      </left>
      <right/>
      <top/>
      <bottom/>
      <diagonal/>
    </border>
    <border>
      <left/>
      <right style="thin">
        <color theme="6" tint="-0.249977111117893"/>
      </right>
      <top/>
      <bottom/>
      <diagonal/>
    </border>
    <border>
      <left style="thin">
        <color theme="6" tint="-0.249977111117893"/>
      </left>
      <right/>
      <top/>
      <bottom style="thin">
        <color theme="6" tint="-0.249977111117893"/>
      </bottom>
      <diagonal/>
    </border>
    <border>
      <left/>
      <right style="thin">
        <color theme="6" tint="-0.249977111117893"/>
      </right>
      <top/>
      <bottom style="thin">
        <color theme="6" tint="-0.249977111117893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164" fontId="0" fillId="0" borderId="0" xfId="0" applyNumberFormat="1" applyFont="1" applyAlignment="1"/>
    <xf numFmtId="0" fontId="1" fillId="0" borderId="1" xfId="0" applyFont="1" applyBorder="1" applyAlignment="1">
      <alignment readingOrder="1"/>
    </xf>
    <xf numFmtId="164" fontId="4" fillId="0" borderId="1" xfId="0" applyNumberFormat="1" applyFont="1" applyBorder="1" applyAlignment="1">
      <alignment readingOrder="1"/>
    </xf>
    <xf numFmtId="44" fontId="0" fillId="0" borderId="0" xfId="0" applyNumberFormat="1" applyFont="1" applyAlignment="1"/>
    <xf numFmtId="164" fontId="2" fillId="0" borderId="1" xfId="0" applyNumberFormat="1" applyFont="1" applyBorder="1" applyAlignment="1">
      <alignment readingOrder="1"/>
    </xf>
    <xf numFmtId="10" fontId="0" fillId="0" borderId="0" xfId="0" applyNumberFormat="1" applyFont="1" applyAlignment="1"/>
    <xf numFmtId="10" fontId="3" fillId="3" borderId="0" xfId="0" applyNumberFormat="1" applyFont="1" applyFill="1" applyBorder="1" applyAlignment="1">
      <alignment readingOrder="1"/>
    </xf>
    <xf numFmtId="10" fontId="2" fillId="0" borderId="0" xfId="0" applyNumberFormat="1" applyFont="1" applyBorder="1" applyAlignment="1">
      <alignment readingOrder="1"/>
    </xf>
    <xf numFmtId="0" fontId="3" fillId="2" borderId="2" xfId="0" applyFont="1" applyFill="1" applyBorder="1" applyAlignment="1">
      <alignment readingOrder="1"/>
    </xf>
    <xf numFmtId="164" fontId="3" fillId="2" borderId="2" xfId="0" applyNumberFormat="1" applyFont="1" applyFill="1" applyBorder="1" applyAlignment="1">
      <alignment readingOrder="1"/>
    </xf>
    <xf numFmtId="164" fontId="3" fillId="3" borderId="2" xfId="0" applyNumberFormat="1" applyFont="1" applyFill="1" applyBorder="1" applyAlignment="1">
      <alignment readingOrder="1"/>
    </xf>
    <xf numFmtId="0" fontId="6" fillId="3" borderId="3" xfId="0" applyFont="1" applyFill="1" applyBorder="1" applyAlignment="1"/>
    <xf numFmtId="0" fontId="5" fillId="3" borderId="3" xfId="0" applyFont="1" applyFill="1" applyBorder="1" applyAlignment="1"/>
    <xf numFmtId="10" fontId="3" fillId="3" borderId="3" xfId="0" applyNumberFormat="1" applyFont="1" applyFill="1" applyBorder="1" applyAlignment="1">
      <alignment wrapText="1" readingOrder="1"/>
    </xf>
    <xf numFmtId="44" fontId="3" fillId="3" borderId="0" xfId="0" applyNumberFormat="1" applyFont="1" applyFill="1" applyBorder="1" applyAlignment="1">
      <alignment readingOrder="1"/>
    </xf>
    <xf numFmtId="44" fontId="2" fillId="0" borderId="0" xfId="0" applyNumberFormat="1" applyFont="1" applyBorder="1" applyAlignment="1">
      <alignment readingOrder="1"/>
    </xf>
    <xf numFmtId="164" fontId="3" fillId="3" borderId="4" xfId="0" applyNumberFormat="1" applyFont="1" applyFill="1" applyBorder="1" applyAlignment="1">
      <alignment readingOrder="1"/>
    </xf>
    <xf numFmtId="164" fontId="2" fillId="0" borderId="5" xfId="0" applyNumberFormat="1" applyFont="1" applyBorder="1" applyAlignment="1">
      <alignment readingOrder="1"/>
    </xf>
    <xf numFmtId="0" fontId="3" fillId="2" borderId="6" xfId="0" applyFont="1" applyFill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164" fontId="4" fillId="0" borderId="9" xfId="0" applyNumberFormat="1" applyFont="1" applyBorder="1" applyAlignment="1">
      <alignment readingOrder="1"/>
    </xf>
    <xf numFmtId="164" fontId="2" fillId="0" borderId="10" xfId="0" applyNumberFormat="1" applyFont="1" applyBorder="1" applyAlignment="1">
      <alignment readingOrder="1"/>
    </xf>
    <xf numFmtId="164" fontId="2" fillId="0" borderId="0" xfId="0" applyNumberFormat="1" applyFont="1" applyBorder="1" applyAlignment="1">
      <alignment readingOrder="1"/>
    </xf>
    <xf numFmtId="44" fontId="3" fillId="3" borderId="3" xfId="0" applyNumberFormat="1" applyFont="1" applyFill="1" applyBorder="1" applyAlignment="1">
      <alignment readingOrder="1"/>
    </xf>
    <xf numFmtId="0" fontId="0" fillId="0" borderId="0" xfId="0" pivotButton="1" applyFont="1" applyAlignment="1"/>
    <xf numFmtId="0" fontId="0" fillId="0" borderId="0" xfId="0" applyFont="1" applyFill="1" applyAlignment="1"/>
    <xf numFmtId="0" fontId="0" fillId="0" borderId="11" xfId="0" applyFont="1" applyBorder="1" applyAlignment="1"/>
    <xf numFmtId="0" fontId="0" fillId="0" borderId="13" xfId="0" applyFont="1" applyBorder="1" applyAlignment="1"/>
    <xf numFmtId="0" fontId="7" fillId="0" borderId="13" xfId="0" applyFont="1" applyFill="1" applyBorder="1" applyAlignment="1">
      <alignment horizontal="left" vertical="top"/>
    </xf>
    <xf numFmtId="0" fontId="7" fillId="0" borderId="0" xfId="0" applyFont="1" applyFill="1" applyAlignment="1">
      <alignment wrapText="1"/>
    </xf>
    <xf numFmtId="0" fontId="7" fillId="0" borderId="12" xfId="0" applyFont="1" applyFill="1" applyBorder="1" applyAlignment="1">
      <alignment wrapText="1"/>
    </xf>
    <xf numFmtId="0" fontId="7" fillId="0" borderId="14" xfId="0" applyFont="1" applyFill="1" applyBorder="1" applyAlignment="1">
      <alignment wrapText="1"/>
    </xf>
    <xf numFmtId="0" fontId="7" fillId="0" borderId="13" xfId="0" applyFont="1" applyFill="1" applyBorder="1" applyAlignment="1">
      <alignment wrapText="1"/>
    </xf>
    <xf numFmtId="164" fontId="7" fillId="0" borderId="14" xfId="0" applyNumberFormat="1" applyFont="1" applyFill="1" applyBorder="1" applyAlignment="1">
      <alignment horizontal="left" vertical="top"/>
    </xf>
    <xf numFmtId="0" fontId="7" fillId="0" borderId="14" xfId="0" applyFont="1" applyFill="1" applyBorder="1" applyAlignment="1">
      <alignment horizontal="left" vertical="top"/>
    </xf>
    <xf numFmtId="0" fontId="7" fillId="0" borderId="15" xfId="0" applyFont="1" applyFill="1" applyBorder="1" applyAlignment="1">
      <alignment wrapText="1"/>
    </xf>
    <xf numFmtId="10" fontId="7" fillId="0" borderId="16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Quote-Cjk-Patch"/>
        <charset val="1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Quote-Cjk-Patch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color rgb="FF0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charset val="1"/>
        <scheme val="none"/>
      </font>
      <numFmt numFmtId="34" formatCode="_-&quot;R$&quot;\ * #,##0.00_-;\-&quot;R$&quot;\ * #,##0.00_-;_-&quot;R$&quot;\ * &quot;-&quot;??_-;_-@_-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charset val="1"/>
        <scheme val="none"/>
      </font>
      <numFmt numFmtId="34" formatCode="_-&quot;R$&quot;\ * #,##0.00_-;\-&quot;R$&quot;\ * #,##0.00_-;_-&quot;R$&quot;\ * &quot;-&quot;??_-;_-@_-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charset val="1"/>
        <scheme val="none"/>
      </font>
      <numFmt numFmtId="14" formatCode="0.00%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charset val="1"/>
        <scheme val="none"/>
      </font>
      <numFmt numFmtId="164" formatCode="&quot;R$&quot;\ #,##0.00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charset val="1"/>
        <scheme val="none"/>
      </font>
      <numFmt numFmtId="164" formatCode="&quot;R$&quot;\ #,##0.00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charset val="1"/>
        <scheme val="none"/>
      </font>
      <numFmt numFmtId="14" formatCode="0.00%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charset val="1"/>
        <scheme val="none"/>
      </font>
      <numFmt numFmtId="34" formatCode="_-&quot;R$&quot;\ * #,##0.00_-;\-&quot;R$&quot;\ * #,##0.00_-;_-&quot;R$&quot;\ * &quot;-&quot;??_-;_-@_-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charset val="1"/>
        <scheme val="none"/>
      </font>
      <numFmt numFmtId="164" formatCode="&quot;R$&quot;\ #,##0.00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charset val="1"/>
        <scheme val="none"/>
      </font>
      <numFmt numFmtId="164" formatCode="&quot;R$&quot;\ #,##0.00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charset val="1"/>
        <scheme val="none"/>
      </font>
      <numFmt numFmtId="164" formatCode="&quot;R$&quot;\ #,##0.00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charset val="1"/>
        <scheme val="none"/>
      </font>
      <numFmt numFmtId="164" formatCode="&quot;R$&quot;\ #,##0.00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Quote-Cjk-Patch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Quote-Cjk-Patch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Quote-Cjk-Patch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theme="6" tint="-0.249977111117893"/>
        </left>
        <right style="thin">
          <color theme="6" tint="-0.249977111117893"/>
        </right>
        <bottom style="thin">
          <color theme="6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5FCFF"/>
        <name val="Verdana"/>
        <charset val="1"/>
        <scheme val="none"/>
      </font>
      <numFmt numFmtId="14" formatCode="0.00%"/>
      <fill>
        <patternFill patternType="solid">
          <fgColor indexed="64"/>
          <bgColor theme="7"/>
        </patternFill>
      </fill>
      <alignment horizontal="general" vertical="bottom" textRotation="0" wrapText="1" indent="0" justifyLastLine="0" shrinkToFit="0" readingOrder="1"/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Página11-style" pivot="0" count="4" xr9:uid="{00000000-0011-0000-FFFF-FFFF00000000}">
      <tableStyleElement type="wholeTable" size="0" dxfId="27"/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[Investimentos.xlsx]Porcentagem do Valor Atual!Tabela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Distribuição da Carteira por Tipo de Ativo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1ED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00A3FA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4EA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'Porcentagem do Valor Atual'!$B$3</c:f>
              <c:strCache>
                <c:ptCount val="1"/>
                <c:pt idx="0">
                  <c:v>Porcentagem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02-45E5-9892-0F0CA72AEC42}"/>
              </c:ext>
            </c:extLst>
          </c:dPt>
          <c:dPt>
            <c:idx val="1"/>
            <c:bubble3D val="0"/>
            <c:spPr>
              <a:solidFill>
                <a:srgbClr val="00A3F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02-45E5-9892-0F0CA72AEC4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1ED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102-45E5-9892-0F0CA72AEC4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4EA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102-45E5-9892-0F0CA72AEC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'Porcentagem do Valor Atual'!$A$4:$A$6</c:f>
              <c:strCache>
                <c:ptCount val="2"/>
                <c:pt idx="0">
                  <c:v>Ação</c:v>
                </c:pt>
                <c:pt idx="1">
                  <c:v>Fundo Imobiliário</c:v>
                </c:pt>
              </c:strCache>
            </c:strRef>
          </c:cat>
          <c:val>
            <c:numRef>
              <c:f>'Porcentagem do Valor Atual'!$B$4:$B$6</c:f>
              <c:numCache>
                <c:formatCode>0.00%</c:formatCode>
                <c:ptCount val="2"/>
                <c:pt idx="0">
                  <c:v>0.50797595190380762</c:v>
                </c:pt>
                <c:pt idx="1">
                  <c:v>0.49202404809619238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02-45E5-9892-0F0CA72AEC42}"/>
            </c:ext>
          </c:extLst>
        </c:ser>
        <c:ser>
          <c:idx val="1"/>
          <c:order val="1"/>
          <c:tx>
            <c:strRef>
              <c:f>'Porcentagem do Valor Atual'!$C$3</c:f>
              <c:strCache>
                <c:ptCount val="1"/>
                <c:pt idx="0">
                  <c:v>Soma de Valor Atual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102-45E5-9892-0F0CA72AEC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102-45E5-9892-0F0CA72AEC42}"/>
              </c:ext>
            </c:extLst>
          </c:dPt>
          <c:cat>
            <c:strRef>
              <c:f>'Porcentagem do Valor Atual'!$A$4:$A$6</c:f>
              <c:strCache>
                <c:ptCount val="2"/>
                <c:pt idx="0">
                  <c:v>Ação</c:v>
                </c:pt>
                <c:pt idx="1">
                  <c:v>Fundo Imobiliário</c:v>
                </c:pt>
              </c:strCache>
            </c:strRef>
          </c:cat>
          <c:val>
            <c:numRef>
              <c:f>'Porcentagem do Valor Atual'!$C$4:$C$6</c:f>
              <c:numCache>
                <c:formatCode>"R$"\ #,##0.00</c:formatCode>
                <c:ptCount val="2"/>
                <c:pt idx="0">
                  <c:v>63370</c:v>
                </c:pt>
                <c:pt idx="1">
                  <c:v>61380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102-45E5-9892-0F0CA72AE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22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EE129E-FFBA-48C9-BDD5-A4A32C6FB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2.788042824075" createdVersion="8" refreshedVersion="8" minRefreshableVersion="3" recordCount="5" xr:uid="{38D0FAE4-7EBF-4637-BE5D-B307F3C2E754}">
  <cacheSource type="worksheet">
    <worksheetSource name="Tabela1"/>
  </cacheSource>
  <cacheFields count="14">
    <cacheField name="Ativo" numFmtId="0">
      <sharedItems count="5">
        <s v="PETR4"/>
        <s v="VALE3"/>
        <s v="ITUB4"/>
        <s v="BBAS3"/>
        <s v="IMAB11"/>
      </sharedItems>
    </cacheField>
    <cacheField name="Tipo" numFmtId="0">
      <sharedItems count="2">
        <s v="Ação"/>
        <s v="Fundo Imobiliário"/>
      </sharedItems>
    </cacheField>
    <cacheField name="Quantidade" numFmtId="0">
      <sharedItems containsSemiMixedTypes="0" containsString="0" containsNumber="1" containsInteger="1" minValue="250" maxValue="600"/>
    </cacheField>
    <cacheField name="Preço de Compra2" numFmtId="164">
      <sharedItems containsSemiMixedTypes="0" containsString="0" containsNumber="1" minValue="28.5" maxValue="98.5"/>
    </cacheField>
    <cacheField name="Preço Atual" numFmtId="164">
      <sharedItems containsSemiMixedTypes="0" containsString="0" containsNumber="1" minValue="32.4" maxValue="102.3"/>
    </cacheField>
    <cacheField name="Valor Investido" numFmtId="164">
      <sharedItems containsSemiMixedTypes="0" containsString="0" containsNumber="1" containsInteger="1" minValue="11325" maxValue="59100"/>
    </cacheField>
    <cacheField name="Valor Atual" numFmtId="164">
      <sharedItems containsSemiMixedTypes="0" containsString="0" containsNumber="1" containsInteger="1" minValue="11800" maxValue="61380" count="5">
        <n v="16200"/>
        <n v="21450"/>
        <n v="13920"/>
        <n v="11800"/>
        <n v="61380"/>
      </sharedItems>
    </cacheField>
    <cacheField name="Rentabilidade" numFmtId="44">
      <sharedItems containsSemiMixedTypes="0" containsString="0" containsNumber="1" containsInteger="1" minValue="475" maxValue="2280"/>
    </cacheField>
    <cacheField name="Rentabilidade2" numFmtId="10">
      <sharedItems containsSemiMixedTypes="0" containsString="0" containsNumber="1" minValue="3.85786802E-2" maxValue="0.13684210529999999"/>
    </cacheField>
    <cacheField name=" Total Investido" numFmtId="164">
      <sharedItems containsSemiMixedTypes="0" containsString="0" containsNumber="1" containsInteger="1" minValue="2831250" maxValue="35460000"/>
    </cacheField>
    <cacheField name="Total Atual" numFmtId="164">
      <sharedItems containsSemiMixedTypes="0" containsString="0" containsNumber="1" containsInteger="1" minValue="61380" maxValue="124750"/>
    </cacheField>
    <cacheField name="Rentabilidade média" numFmtId="10">
      <sharedItems containsSemiMixedTypes="0" containsString="0" containsNumber="1" minValue="3.85786802E-2" maxValue="6.9972527332000004E-2"/>
    </cacheField>
    <cacheField name="Menor rentabilidade" numFmtId="44">
      <sharedItems containsSemiMixedTypes="0" containsString="0" containsNumber="1" containsInteger="1" minValue="475" maxValue="2280"/>
    </cacheField>
    <cacheField name="Maior rentabilidade" numFmtId="44">
      <sharedItems containsSemiMixedTypes="0" containsString="0" containsNumber="1" containsInteger="1" minValue="2280" maxValue="22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500"/>
    <n v="28.5"/>
    <n v="32.4"/>
    <n v="14250"/>
    <x v="0"/>
    <n v="1950"/>
    <n v="0.13684210529999999"/>
    <n v="7125000"/>
    <n v="124750"/>
    <n v="6.9972527332000004E-2"/>
    <n v="475"/>
    <n v="2280"/>
  </r>
  <r>
    <x v="1"/>
    <x v="0"/>
    <n v="300"/>
    <n v="68.2"/>
    <n v="71.5"/>
    <n v="20460"/>
    <x v="1"/>
    <n v="990"/>
    <n v="4.8387096769999999E-2"/>
    <n v="6138000"/>
    <n v="108550"/>
    <n v="5.3255132839999997E-2"/>
    <n v="475"/>
    <n v="2280"/>
  </r>
  <r>
    <x v="2"/>
    <x v="0"/>
    <n v="400"/>
    <n v="32.1"/>
    <n v="34.799999999999997"/>
    <n v="12840"/>
    <x v="2"/>
    <n v="1080"/>
    <n v="8.4112149529999999E-2"/>
    <n v="5136000"/>
    <n v="87100"/>
    <n v="5.4877811529999994E-2"/>
    <n v="475"/>
    <n v="2280"/>
  </r>
  <r>
    <x v="3"/>
    <x v="0"/>
    <n v="250"/>
    <n v="45.3"/>
    <n v="47.2"/>
    <n v="11325"/>
    <x v="3"/>
    <n v="475"/>
    <n v="4.1942604860000003E-2"/>
    <n v="2831250"/>
    <n v="73180"/>
    <n v="4.0260642530000001E-2"/>
    <n v="475"/>
    <n v="2280"/>
  </r>
  <r>
    <x v="4"/>
    <x v="1"/>
    <n v="600"/>
    <n v="98.5"/>
    <n v="102.3"/>
    <n v="59100"/>
    <x v="4"/>
    <n v="2280"/>
    <n v="3.85786802E-2"/>
    <n v="35460000"/>
    <n v="61380"/>
    <n v="3.85786802E-2"/>
    <n v="2280"/>
    <n v="22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BD854-1E9C-4A43-BADB-2C62708D435E}" name="Tabela dinâmica1" cacheId="69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C6" firstHeaderRow="0" firstDataRow="1" firstDataCol="1"/>
  <pivotFields count="14">
    <pivotField compact="0" outline="0" showAll="0">
      <items count="6">
        <item x="3"/>
        <item x="4"/>
        <item x="2"/>
        <item x="0"/>
        <item x="1"/>
        <item t="default"/>
      </items>
    </pivotField>
    <pivotField name="Nome da Categoria"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>
      <items count="6">
        <item x="3"/>
        <item x="2"/>
        <item x="0"/>
        <item x="1"/>
        <item x="4"/>
        <item t="default"/>
      </items>
    </pivotField>
    <pivotField compact="0" numFmtId="44" outline="0" showAll="0"/>
    <pivotField compact="0" numFmtId="10" outline="0" showAll="0"/>
    <pivotField compact="0" numFmtId="164" outline="0" showAll="0"/>
    <pivotField compact="0" numFmtId="164" outline="0" showAll="0"/>
    <pivotField compact="0" numFmtId="10" outline="0" showAll="0"/>
    <pivotField compact="0" numFmtId="44" outline="0" showAll="0"/>
    <pivotField compact="0" numFmtId="44" outline="0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orcentagem" fld="6" showDataAs="percentOfTotal" baseField="0" baseItem="0" numFmtId="10"/>
    <dataField name="Soma de Valor Atual" fld="6" baseField="0" baseItem="0" numFmtId="164"/>
  </dataFields>
  <chartFormats count="2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D22744-EC93-4F3B-9F3B-426665D18444}" name="Tabela1" displayName="Tabela1" ref="A1:N6" totalsRowShown="0" headerRowDxfId="19" dataDxfId="18" tableBorderDxfId="17">
  <autoFilter ref="A1:N6" xr:uid="{D4D22744-EC93-4F3B-9F3B-426665D18444}"/>
  <tableColumns count="14">
    <tableColumn id="1" xr3:uid="{D0C04B66-C937-4F6E-A8C8-EDC848640238}" name="Ativo" dataDxfId="16"/>
    <tableColumn id="2" xr3:uid="{BE1A16FE-25F4-4ED0-A359-1EB1315C5F57}" name="Tipo" dataDxfId="15"/>
    <tableColumn id="3" xr3:uid="{3BEEC0CF-D110-4F4D-B448-6ADF51BBDBB9}" name="Quantidade" dataDxfId="14"/>
    <tableColumn id="4" xr3:uid="{FE77BEBC-CD70-471C-9A47-E3DE44AFB49E}" name="Preço de Compra2" dataDxfId="13"/>
    <tableColumn id="5" xr3:uid="{375150EC-52B0-4BC1-8CCD-F868516629A2}" name="Preço Atual" dataDxfId="12"/>
    <tableColumn id="6" xr3:uid="{872871EE-96BE-43FD-B285-7AFE7B4DEDDD}" name="Valor Investido" dataDxfId="11">
      <calculatedColumnFormula>C2*D2</calculatedColumnFormula>
    </tableColumn>
    <tableColumn id="7" xr3:uid="{4498507C-20FC-44D9-96CF-EDFC3036BB7C}" name="Valor Atual" dataDxfId="10"/>
    <tableColumn id="8" xr3:uid="{24EF8747-0FB3-4B4B-BB1E-522D2C66F380}" name="Rentabilidade" dataDxfId="9"/>
    <tableColumn id="9" xr3:uid="{1259BE74-8342-4770-9F9D-C459E5F32D23}" name="Rentabilidade2" dataDxfId="8"/>
    <tableColumn id="10" xr3:uid="{4556947E-9C0E-463E-9C4B-497C2411B4BA}" name=" Total Investido" dataDxfId="7">
      <calculatedColumnFormula>SUM(Tabela1[[#This Row],[Valor Investido]]*Tabela1[[#This Row],[Quantidade]])</calculatedColumnFormula>
    </tableColumn>
    <tableColumn id="11" xr3:uid="{68CDE084-AC4B-4494-A5CF-604325148634}" name="Total Atual" dataDxfId="6">
      <calculatedColumnFormula>SUM(G2:G6)</calculatedColumnFormula>
    </tableColumn>
    <tableColumn id="12" xr3:uid="{89439219-2FDF-454A-A780-3905CF573762}" name="Rentabilidade média" dataDxfId="5">
      <calculatedColumnFormula>AVERAGEA(I2:I6)</calculatedColumnFormula>
    </tableColumn>
    <tableColumn id="13" xr3:uid="{2BD3E607-A717-4227-8C53-A94000B06A00}" name="Menor rentabilidade" dataDxfId="4">
      <calculatedColumnFormula>MIN(H2:$H$6)</calculatedColumnFormula>
    </tableColumn>
    <tableColumn id="14" xr3:uid="{3728DB13-C93E-46D3-97DE-C6B2FBF787EE}" name="Maior rentabilidade" dataDxfId="3">
      <calculatedColumnFormula>MAX(H2:$H$6)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ACE51A-00D6-4668-A87F-E50F4C56B573}" name="Tabela3" displayName="Tabela3" ref="A1:B11" totalsRowShown="0" dataDxfId="2">
  <autoFilter ref="A1:B11" xr:uid="{E4ACE51A-00D6-4668-A87F-E50F4C56B573}"/>
  <tableColumns count="2">
    <tableColumn id="1" xr3:uid="{28C37D03-C31D-4905-A535-BB267CD37EC8}" name="Coluna1" dataDxfId="1"/>
    <tableColumn id="2" xr3:uid="{7BD0A57A-B35B-45D2-B902-E65051546F5F}" name="Coluna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5975"/>
      </a:dk1>
      <a:lt1>
        <a:srgbClr val="F5FCFF"/>
      </a:lt1>
      <a:dk2>
        <a:srgbClr val="005975"/>
      </a:dk2>
      <a:lt2>
        <a:srgbClr val="F5FCFF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60C6-B9B7-45C6-AF1C-BED085C8AD6A}">
  <dimension ref="A1:N6"/>
  <sheetViews>
    <sheetView workbookViewId="0">
      <selection activeCell="I4" sqref="I4"/>
    </sheetView>
  </sheetViews>
  <sheetFormatPr defaultRowHeight="12.75"/>
  <cols>
    <col min="2" max="2" width="16.625" bestFit="1" customWidth="1"/>
    <col min="3" max="3" width="13.5" bestFit="1" customWidth="1"/>
    <col min="4" max="4" width="19.625" style="1" bestFit="1" customWidth="1"/>
    <col min="5" max="5" width="13.5" style="1" bestFit="1" customWidth="1"/>
    <col min="6" max="6" width="17" style="1" bestFit="1" customWidth="1"/>
    <col min="7" max="7" width="13.125" style="1" bestFit="1" customWidth="1"/>
    <col min="8" max="8" width="16.625" style="4" bestFit="1" customWidth="1"/>
    <col min="9" max="9" width="16.75" style="6" bestFit="1" customWidth="1"/>
    <col min="10" max="10" width="17.375" style="6" customWidth="1"/>
    <col min="11" max="11" width="13.625" style="4" customWidth="1"/>
    <col min="12" max="12" width="21.875" style="6" customWidth="1"/>
    <col min="13" max="13" width="21.375" style="6" customWidth="1"/>
    <col min="14" max="14" width="20.75" style="6" customWidth="1"/>
  </cols>
  <sheetData>
    <row r="1" spans="1:14" ht="15.75">
      <c r="A1" s="1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1" t="s">
        <v>5</v>
      </c>
      <c r="G1" s="17" t="s">
        <v>6</v>
      </c>
      <c r="H1" s="15" t="s">
        <v>7</v>
      </c>
      <c r="I1" s="7" t="s">
        <v>8</v>
      </c>
      <c r="J1" s="12" t="s">
        <v>9</v>
      </c>
      <c r="K1" s="26" t="s">
        <v>10</v>
      </c>
      <c r="L1" s="13" t="s">
        <v>11</v>
      </c>
      <c r="M1" s="14" t="s">
        <v>12</v>
      </c>
      <c r="N1" s="14" t="s">
        <v>13</v>
      </c>
    </row>
    <row r="2" spans="1:14" ht="15">
      <c r="A2" s="20" t="s">
        <v>14</v>
      </c>
      <c r="B2" s="2" t="s">
        <v>15</v>
      </c>
      <c r="C2" s="2">
        <v>500</v>
      </c>
      <c r="D2" s="3">
        <v>28.5</v>
      </c>
      <c r="E2" s="3">
        <v>32.4</v>
      </c>
      <c r="F2" s="5">
        <f>C2*D2</f>
        <v>14250</v>
      </c>
      <c r="G2" s="18">
        <v>16200</v>
      </c>
      <c r="H2" s="16">
        <v>1950</v>
      </c>
      <c r="I2" s="8">
        <v>0.13684210529999999</v>
      </c>
      <c r="J2" s="25">
        <f>SUM(Tabela1[[#This Row],[Valor Investido]]*Tabela1[[#This Row],[Quantidade]])</f>
        <v>7125000</v>
      </c>
      <c r="K2" s="25">
        <f>SUM(G2:G6)</f>
        <v>124750</v>
      </c>
      <c r="L2" s="8">
        <f>AVERAGEA(I2:I6)</f>
        <v>6.9972527332000004E-2</v>
      </c>
      <c r="M2" s="16">
        <f>MIN(H2:$H$6)</f>
        <v>475</v>
      </c>
      <c r="N2" s="16">
        <f>MAX(H2:$H$6)</f>
        <v>2280</v>
      </c>
    </row>
    <row r="3" spans="1:14" ht="15">
      <c r="A3" s="20" t="s">
        <v>16</v>
      </c>
      <c r="B3" s="2" t="s">
        <v>15</v>
      </c>
      <c r="C3" s="2">
        <v>300</v>
      </c>
      <c r="D3" s="3">
        <v>68.2</v>
      </c>
      <c r="E3" s="3">
        <v>71.5</v>
      </c>
      <c r="F3" s="5">
        <f>C3*D3</f>
        <v>20460</v>
      </c>
      <c r="G3" s="18">
        <v>21450</v>
      </c>
      <c r="H3" s="16">
        <v>990</v>
      </c>
      <c r="I3" s="8">
        <v>4.8387096769999999E-2</v>
      </c>
      <c r="J3" s="25">
        <f>SUM(Tabela1[[#This Row],[Valor Investido]]*Tabela1[[#This Row],[Quantidade]])</f>
        <v>6138000</v>
      </c>
      <c r="K3" s="25">
        <f t="shared" ref="K2:K6" si="0">SUM(G3:G7)</f>
        <v>108550</v>
      </c>
      <c r="L3" s="8">
        <f>AVERAGEA(I3:I7)</f>
        <v>5.3255132839999997E-2</v>
      </c>
      <c r="M3" s="16">
        <f>MIN(H3:$H$6)</f>
        <v>475</v>
      </c>
      <c r="N3" s="16">
        <f>MAX(H3:$H$6)</f>
        <v>2280</v>
      </c>
    </row>
    <row r="4" spans="1:14" ht="15">
      <c r="A4" s="20" t="s">
        <v>17</v>
      </c>
      <c r="B4" s="2" t="s">
        <v>15</v>
      </c>
      <c r="C4" s="2">
        <v>400</v>
      </c>
      <c r="D4" s="3">
        <v>32.1</v>
      </c>
      <c r="E4" s="3">
        <v>34.799999999999997</v>
      </c>
      <c r="F4" s="5">
        <f t="shared" ref="F3:F6" si="1">C4*D4</f>
        <v>12840</v>
      </c>
      <c r="G4" s="18">
        <v>13920</v>
      </c>
      <c r="H4" s="16">
        <v>1080</v>
      </c>
      <c r="I4" s="8">
        <v>8.4112149529999999E-2</v>
      </c>
      <c r="J4" s="25">
        <f>SUM(Tabela1[[#This Row],[Valor Investido]]*Tabela1[[#This Row],[Quantidade]])</f>
        <v>5136000</v>
      </c>
      <c r="K4" s="25">
        <f t="shared" si="0"/>
        <v>87100</v>
      </c>
      <c r="L4" s="8">
        <f t="shared" ref="L3:L6" si="2">AVERAGEA(I4:I8)</f>
        <v>5.4877811529999994E-2</v>
      </c>
      <c r="M4" s="16">
        <f>MIN(H4:$H$6)</f>
        <v>475</v>
      </c>
      <c r="N4" s="16">
        <f>MAX(H4:$H$6)</f>
        <v>2280</v>
      </c>
    </row>
    <row r="5" spans="1:14" ht="15">
      <c r="A5" s="20" t="s">
        <v>18</v>
      </c>
      <c r="B5" s="2" t="s">
        <v>15</v>
      </c>
      <c r="C5" s="2">
        <v>250</v>
      </c>
      <c r="D5" s="3">
        <v>45.3</v>
      </c>
      <c r="E5" s="3">
        <v>47.2</v>
      </c>
      <c r="F5" s="5">
        <f t="shared" si="1"/>
        <v>11325</v>
      </c>
      <c r="G5" s="18">
        <v>11800</v>
      </c>
      <c r="H5" s="16">
        <v>475</v>
      </c>
      <c r="I5" s="8">
        <v>4.1942604860000003E-2</v>
      </c>
      <c r="J5" s="25">
        <f>SUM(Tabela1[[#This Row],[Valor Investido]]*Tabela1[[#This Row],[Quantidade]])</f>
        <v>2831250</v>
      </c>
      <c r="K5" s="25">
        <f t="shared" si="0"/>
        <v>73180</v>
      </c>
      <c r="L5" s="8">
        <f t="shared" si="2"/>
        <v>4.0260642530000001E-2</v>
      </c>
      <c r="M5" s="16">
        <f>MIN(H5:$H$6)</f>
        <v>475</v>
      </c>
      <c r="N5" s="16">
        <f>MAX(H5:$H$6)</f>
        <v>2280</v>
      </c>
    </row>
    <row r="6" spans="1:14" ht="15">
      <c r="A6" s="21" t="s">
        <v>19</v>
      </c>
      <c r="B6" s="22" t="s">
        <v>20</v>
      </c>
      <c r="C6" s="22">
        <v>600</v>
      </c>
      <c r="D6" s="23">
        <v>98.5</v>
      </c>
      <c r="E6" s="23">
        <v>102.3</v>
      </c>
      <c r="F6" s="5">
        <f t="shared" si="1"/>
        <v>59100</v>
      </c>
      <c r="G6" s="24">
        <v>61380</v>
      </c>
      <c r="H6" s="16">
        <v>2280</v>
      </c>
      <c r="I6" s="8">
        <v>3.85786802E-2</v>
      </c>
      <c r="J6" s="25">
        <f>SUM(Tabela1[[#This Row],[Valor Investido]]*Tabela1[[#This Row],[Quantidade]])</f>
        <v>35460000</v>
      </c>
      <c r="K6" s="25">
        <f t="shared" si="0"/>
        <v>61380</v>
      </c>
      <c r="L6" s="8">
        <f t="shared" si="2"/>
        <v>3.85786802E-2</v>
      </c>
      <c r="M6" s="16">
        <f>MIN(H6:$H$6)</f>
        <v>2280</v>
      </c>
      <c r="N6" s="16">
        <f>MAX(H6:$H$6)</f>
        <v>2280</v>
      </c>
    </row>
  </sheetData>
  <conditionalFormatting sqref="I2:I6">
    <cfRule type="cellIs" dxfId="23" priority="4" operator="greaterThan">
      <formula>0</formula>
    </cfRule>
  </conditionalFormatting>
  <conditionalFormatting sqref="I2:I6">
    <cfRule type="cellIs" dxfId="22" priority="3" operator="lessThan">
      <formula>0</formula>
    </cfRule>
  </conditionalFormatting>
  <conditionalFormatting sqref="J2:J6">
    <cfRule type="cellIs" dxfId="21" priority="2" operator="greaterThan">
      <formula>0</formula>
    </cfRule>
  </conditionalFormatting>
  <conditionalFormatting sqref="J2:J6">
    <cfRule type="cellIs" dxfId="2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12BF-CA31-4895-9D23-4420446497B2}">
  <dimension ref="A3:C6"/>
  <sheetViews>
    <sheetView workbookViewId="0">
      <selection activeCell="C3" sqref="C3"/>
    </sheetView>
  </sheetViews>
  <sheetFormatPr defaultRowHeight="12.75"/>
  <cols>
    <col min="1" max="1" width="20.875" bestFit="1" customWidth="1"/>
    <col min="2" max="2" width="13.125" bestFit="1" customWidth="1"/>
    <col min="3" max="3" width="19.5" bestFit="1" customWidth="1"/>
    <col min="4" max="5" width="12.875" bestFit="1" customWidth="1"/>
    <col min="6" max="6" width="11.875" bestFit="1" customWidth="1"/>
    <col min="7" max="7" width="12.875" bestFit="1" customWidth="1"/>
  </cols>
  <sheetData>
    <row r="3" spans="1:3">
      <c r="A3" s="27" t="s">
        <v>21</v>
      </c>
      <c r="B3" t="s">
        <v>22</v>
      </c>
      <c r="C3" t="s">
        <v>23</v>
      </c>
    </row>
    <row r="4" spans="1:3">
      <c r="A4" t="s">
        <v>15</v>
      </c>
      <c r="B4" s="6">
        <v>0.50797595190380762</v>
      </c>
      <c r="C4" s="1">
        <v>63370</v>
      </c>
    </row>
    <row r="5" spans="1:3">
      <c r="A5" t="s">
        <v>20</v>
      </c>
      <c r="B5" s="6">
        <v>0.49202404809619238</v>
      </c>
      <c r="C5" s="1">
        <v>61380</v>
      </c>
    </row>
    <row r="6" spans="1:3">
      <c r="A6" t="s">
        <v>24</v>
      </c>
      <c r="B6" s="6">
        <v>1</v>
      </c>
      <c r="C6" s="1">
        <v>124750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500D-FFCF-4471-AAC0-0F43AA3C063E}">
  <dimension ref="A1"/>
  <sheetViews>
    <sheetView workbookViewId="0">
      <selection activeCell="O1" sqref="O1"/>
    </sheetView>
  </sheetViews>
  <sheetFormatPr defaultRowHeight="12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9B99-87AF-4AAE-8DCD-848263D20428}">
  <dimension ref="A1:C11"/>
  <sheetViews>
    <sheetView topLeftCell="A2" workbookViewId="0">
      <selection activeCell="B2" sqref="B2"/>
    </sheetView>
  </sheetViews>
  <sheetFormatPr defaultRowHeight="12.75"/>
  <cols>
    <col min="1" max="1" width="19.25" bestFit="1" customWidth="1"/>
    <col min="2" max="2" width="20.25" bestFit="1" customWidth="1"/>
    <col min="3" max="3" width="12.5" bestFit="1" customWidth="1"/>
    <col min="4" max="4" width="17.875" bestFit="1" customWidth="1"/>
    <col min="5" max="5" width="36" bestFit="1" customWidth="1"/>
  </cols>
  <sheetData>
    <row r="1" spans="1:3" ht="16.5" hidden="1">
      <c r="A1" t="s">
        <v>25</v>
      </c>
      <c r="B1" s="32" t="s">
        <v>26</v>
      </c>
    </row>
    <row r="2" spans="1:3" ht="16.5">
      <c r="A2" s="29" t="s">
        <v>27</v>
      </c>
      <c r="B2" s="33" t="s">
        <v>19</v>
      </c>
    </row>
    <row r="3" spans="1:3" ht="14.25">
      <c r="A3" s="30"/>
      <c r="B3" s="34"/>
    </row>
    <row r="4" spans="1:3" ht="14.25">
      <c r="A4" s="31" t="s">
        <v>28</v>
      </c>
      <c r="B4" s="34"/>
      <c r="C4" s="32"/>
    </row>
    <row r="5" spans="1:3" ht="14.25">
      <c r="A5" s="35"/>
      <c r="B5" s="36"/>
      <c r="C5" s="32"/>
    </row>
    <row r="6" spans="1:3" ht="16.5">
      <c r="A6" s="35" t="s">
        <v>29</v>
      </c>
      <c r="B6" s="37" t="str">
        <f>VLOOKUP(B2,'Investimentos do Banco'!A2:B6,2,FALSE)</f>
        <v>Fundo Imobiliário</v>
      </c>
      <c r="C6" s="32"/>
    </row>
    <row r="7" spans="1:3" ht="16.5">
      <c r="A7" s="35" t="s">
        <v>30</v>
      </c>
      <c r="B7" s="36">
        <f>VLOOKUP(B2,'Investimentos do Banco'!A2:D6,4,FALSE)</f>
        <v>98.5</v>
      </c>
      <c r="C7" s="32"/>
    </row>
    <row r="8" spans="1:3" ht="16.5">
      <c r="A8" s="35" t="s">
        <v>31</v>
      </c>
      <c r="B8" s="36">
        <f>VLOOKUP(B2,'Investimentos do Banco'!A2:E6,5,FALSE)</f>
        <v>102.3</v>
      </c>
      <c r="C8" s="32"/>
    </row>
    <row r="9" spans="1:3" ht="16.5">
      <c r="A9" s="35" t="s">
        <v>32</v>
      </c>
      <c r="B9" s="36">
        <f>VLOOKUP(B2,'Investimentos do Banco'!A2:F6,6,FALSE)</f>
        <v>59100</v>
      </c>
      <c r="C9" s="32"/>
    </row>
    <row r="10" spans="1:3" ht="16.5">
      <c r="A10" s="35" t="s">
        <v>33</v>
      </c>
      <c r="B10" s="36">
        <f>VLOOKUP(B2,'Investimentos do Banco'!A2:H6,8,FALSE)</f>
        <v>2280</v>
      </c>
      <c r="C10" s="28"/>
    </row>
    <row r="11" spans="1:3" ht="16.5">
      <c r="A11" s="38" t="s">
        <v>34</v>
      </c>
      <c r="B11" s="39">
        <f>VLOOKUP(B2,'Investimentos do Banco'!A2:I6,9,FALSE)</f>
        <v>3.85786802E-2</v>
      </c>
    </row>
  </sheetData>
  <dataValidations count="1">
    <dataValidation type="list" allowBlank="1" showDropDown="1" showInputMessage="1" showErrorMessage="1" error="Selecione apenas da lista" prompt="Escolha um ativo" sqref="B3" xr:uid="{6B72A079-3D46-435A-85B9-ACFE51CAEDF7}">
      <formula1>B4:B4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Selecione apenas da lista" xr:uid="{67A5C2DB-A66E-42F4-B6EB-4D20E9050150}">
          <x14:formula1>
            <xm:f>'Investimentos do Banco'!A2:A6</xm:f>
          </x14:formula1>
          <xm:sqref>B2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EFE7-CF6C-4813-9CEF-0832F28B954D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2026-03-11T19:50:10Z</dcterms:created>
  <dcterms:modified xsi:type="dcterms:W3CDTF">2026-03-14T01:07:36Z</dcterms:modified>
  <cp:category/>
  <cp:contentStatus/>
</cp:coreProperties>
</file>